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סיכום כולל" state="visible" r:id="rId4"/>
    <sheet sheetId="2" name="כתב כמויות" state="visible" r:id="rId5"/>
  </sheets>
  <calcPr calcId="171027"/>
</workbook>
</file>

<file path=xl/sharedStrings.xml><?xml version="1.0" encoding="utf-8"?>
<sst xmlns="http://schemas.openxmlformats.org/spreadsheetml/2006/main" count="60" uniqueCount="43">
  <si>
    <t>דירה</t>
  </si>
  <si>
    <t>ריצוף רגיל נטו (מ"ר)</t>
  </si>
  <si>
    <t>ריצוף רגיל להזמנה (מ"ר)</t>
  </si>
  <si>
    <t>ריצוף AS נטו (מ"ר)</t>
  </si>
  <si>
    <t>ריצוף AS להזמנה (מ"ר)</t>
  </si>
  <si>
    <t>חיפוי קירות נטו (מ"ר)</t>
  </si>
  <si>
    <t>חיפוי קירות להזמנה (מ"ר)</t>
  </si>
  <si>
    <t>פנלים נטו (מ"ר)</t>
  </si>
  <si>
    <t>פנלים להזמנה (מ"ר)</t>
  </si>
  <si>
    <t>A</t>
  </si>
  <si>
    <t>סה"כ כולל</t>
  </si>
  <si>
    <t>חדר</t>
  </si>
  <si>
    <t>שטח ריצוף רגיל (מ"ר)</t>
  </si>
  <si>
    <t>שטח ריצוף AS (מ"ר)</t>
  </si>
  <si>
    <t>שטח חיפוי קירות (מ"ר)</t>
  </si>
  <si>
    <t>שטח פנלים (מ"ר)</t>
  </si>
  <si>
    <t>פחת ריצוף רגיל (%)</t>
  </si>
  <si>
    <t>פחת ריצוף AS (%)</t>
  </si>
  <si>
    <t>פחת חיפוי (%)</t>
  </si>
  <si>
    <t>פחת פנלים (%)</t>
  </si>
  <si>
    <t>ריצוף רגיל להזמנה</t>
  </si>
  <si>
    <t>ריצוף AS להזמנה</t>
  </si>
  <si>
    <t>חיפוי להזמנה</t>
  </si>
  <si>
    <t>פנלים להזמנה</t>
  </si>
  <si>
    <t>הערות</t>
  </si>
  <si>
    <t>אורך פנלים (מ"א)</t>
  </si>
  <si>
    <t>אורך פנלים להזמנה (מ"א)</t>
  </si>
  <si>
    <t>חדר הורים</t>
  </si>
  <si>
    <t>—</t>
  </si>
  <si>
    <t/>
  </si>
  <si>
    <t>חדר שינה</t>
  </si>
  <si>
    <t>סלון</t>
  </si>
  <si>
    <t>סה"כ</t>
  </si>
  <si>
    <t>פריט</t>
  </si>
  <si>
    <t>כמות נטו (מ"ר)</t>
  </si>
  <si>
    <t>פחת (%)</t>
  </si>
  <si>
    <t>להזמנה (מ"ר)</t>
  </si>
  <si>
    <t>אורך (מ"א)</t>
  </si>
  <si>
    <t>אורך להזמנה (מ"א)</t>
  </si>
  <si>
    <t>ריצוף רגיל</t>
  </si>
  <si>
    <t>ריצוף AS</t>
  </si>
  <si>
    <t>חיפוי קירות</t>
  </si>
  <si>
    <t>פנלים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</si>
</sst>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5FB"/>
      </patternFill>
    </fill>
    <fill>
      <patternFill patternType="solid">
        <fgColor rgb="FFD5F5E3"/>
      </patternFill>
    </fill>
    <fill>
      <patternFill patternType="solid">
        <fgColor rgb="FFFDFEFE"/>
      </patternFill>
    </fill>
    <fill>
      <patternFill patternType="solid">
        <fgColor rgb="FFD6E4F0"/>
      </patternFill>
    </fill>
    <fill>
      <patternFill patternType="solid">
        <fgColor rgb="FFA9C4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4" fontId="0" fillId="3" borderId="0" xfId="0" applyNumberFormat="1" applyFill="1" applyAlignment="1">
      <alignment horizontal="center"/>
    </xf>
    <xf numFmtId="0" fontId="2" fillId="4" borderId="0" xfId="0" applyFont="1" applyFill="1"/>
    <xf numFmtId="4" fontId="2" fillId="4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/>
    <xf numFmtId="4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2" fillId="6" borderId="0" xfId="0" applyFont="1" applyFill="1"/>
    <xf numFmtId="0" fontId="2" fillId="7" borderId="0" xfId="0" applyFont="1" applyFill="1" applyAlignment="1">
      <alignment horizontal="center"/>
    </xf>
    <xf numFmtId="0" fontId="0" fillId="6" borderId="0" xfId="0" applyFill="1"/>
    <xf numFmtId="4" fontId="0" fillId="6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rightToLeft="1"/>
  </sheetViews>
  <sheetFormatPr defaultRowHeight="15" outlineLevelRow="0" outlineLevelCol="0" x14ac:dyDescent="55"/>
  <cols>
    <col min="1" max="1" width="10" customWidth="1"/>
    <col min="2" max="2" width="20" customWidth="1"/>
    <col min="3" max="3" width="22" customWidth="1"/>
    <col min="4" max="4" width="18" customWidth="1"/>
    <col min="5" max="6" width="20" customWidth="1"/>
    <col min="7" max="7" width="22" customWidth="1"/>
    <col min="8" max="8" width="16" customWidth="1"/>
    <col min="9" max="9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>
        <f>'כתב כמויות'!B8</f>
        <v>49.46</v>
      </c>
      <c r="C2" s="3">
        <f>'כתב כמויות'!D8</f>
        <v>49.46</v>
      </c>
      <c r="D2" s="3">
        <f>'כתב כמויות'!B9</f>
        <v>0</v>
      </c>
      <c r="E2" s="3">
        <f>'כתב כמויות'!D9</f>
        <v>0</v>
      </c>
      <c r="F2" s="3">
        <f>'כתב כמויות'!B10</f>
        <v>0</v>
      </c>
      <c r="G2" s="3">
        <f>'כתב כמויות'!D10</f>
        <v>0</v>
      </c>
      <c r="H2" s="3">
        <f>'כתב כמויות'!B11</f>
        <v>4.87</v>
      </c>
      <c r="I2" s="3">
        <f>'כתב כמויות'!D11</f>
        <v>4.87</v>
      </c>
    </row>
    <row r="3" spans="1:9" x14ac:dyDescent="0.25">
      <c r="A3" s="4" t="s">
        <v>10</v>
      </c>
      <c r="B3" s="5">
        <f>ROUND(SUM(B2:B2),2)</f>
        <v>49.46</v>
      </c>
      <c r="C3" s="5">
        <f>ROUND(SUM(C2:C2),2)</f>
        <v>49.46</v>
      </c>
      <c r="D3" s="5">
        <f>ROUND(SUM(D2:D2),2)</f>
        <v>0</v>
      </c>
      <c r="E3" s="5">
        <f>ROUND(SUM(E2:E2),2)</f>
        <v>0</v>
      </c>
      <c r="F3" s="5">
        <f>ROUND(SUM(F2:F2),2)</f>
        <v>0</v>
      </c>
      <c r="G3" s="5">
        <f>ROUND(SUM(G2:G2),2)</f>
        <v>0</v>
      </c>
      <c r="H3" s="5">
        <f>ROUND(SUM(H2:H2),2)</f>
        <v>4.87</v>
      </c>
      <c r="I3" s="5">
        <f>ROUND(SUM(I2:I2),2)</f>
        <v>4.87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26" customWidth="1"/>
    <col min="3" max="3" width="17" customWidth="1"/>
    <col min="4" max="4" width="16" customWidth="1"/>
    <col min="5" max="5" width="18" customWidth="1"/>
    <col min="6" max="6" width="14" customWidth="1"/>
    <col min="7" max="8" width="15" customWidth="1"/>
    <col min="9" max="10" width="12" customWidth="1"/>
    <col min="11" max="12" width="15" customWidth="1"/>
    <col min="13" max="14" width="13" customWidth="1"/>
    <col min="15" max="15" width="26" customWidth="1"/>
    <col min="16" max="16" width="17" customWidth="1"/>
    <col min="17" max="17" width="21" customWidth="1"/>
  </cols>
  <sheetData>
    <row r="1" spans="1:17" x14ac:dyDescent="0.2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</row>
    <row r="2" spans="1:17" x14ac:dyDescent="0.25">
      <c r="A2" s="2" t="s">
        <v>9</v>
      </c>
      <c r="B2" s="2" t="s">
        <v>27</v>
      </c>
      <c r="C2" s="3">
        <v>12.74</v>
      </c>
      <c r="D2" s="3" t="s">
        <v>28</v>
      </c>
      <c r="E2" s="3" t="s">
        <v>28</v>
      </c>
      <c r="F2" s="3">
        <v>1.44</v>
      </c>
      <c r="G2" s="6">
        <v>0</v>
      </c>
      <c r="H2" s="6" t="s">
        <v>28</v>
      </c>
      <c r="I2" s="6" t="s">
        <v>28</v>
      </c>
      <c r="J2" s="6">
        <v>0</v>
      </c>
      <c r="K2" s="3">
        <f>IF(ISNUMBER(C2),ROUND(C2*(1+IF(ISNUMBER(G2),G2,0)/100),2),"—")</f>
        <v>12.74</v>
      </c>
      <c r="L2" s="3" t="str">
        <f>IF(ISNUMBER(D2),ROUND(D2*(1+IF(ISNUMBER(H2),H2,0)/100),2),"—")</f>
        <v>—</v>
      </c>
      <c r="M2" s="3" t="str">
        <f>IF(ISNUMBER(E2),ROUND(E2*(1+IF(ISNUMBER(I2),I2,0)/100),2),"—")</f>
        <v>—</v>
      </c>
      <c r="N2" s="3">
        <f>IF(ISNUMBER(F2),ROUND(F2*(1+IF(ISNUMBER(J2),J2,0)/100),2),"—")</f>
        <v>1.44</v>
      </c>
      <c r="O2" s="2" t="s">
        <v>29</v>
      </c>
      <c r="P2" s="3">
        <v>14.36</v>
      </c>
      <c r="Q2" s="3">
        <f>IF(ISNUMBER(P2),ROUND(P2*(1+IF(ISNUMBER(J2),J2,0)/100),2),"—")</f>
        <v>14.36</v>
      </c>
    </row>
    <row r="3" spans="1:17" x14ac:dyDescent="0.25">
      <c r="A3" s="7" t="s">
        <v>9</v>
      </c>
      <c r="B3" s="7" t="s">
        <v>30</v>
      </c>
      <c r="C3" s="8">
        <v>13.11</v>
      </c>
      <c r="D3" s="8" t="s">
        <v>28</v>
      </c>
      <c r="E3" s="8" t="s">
        <v>28</v>
      </c>
      <c r="F3" s="8">
        <v>1.48</v>
      </c>
      <c r="G3" s="9">
        <v>0</v>
      </c>
      <c r="H3" s="9" t="s">
        <v>28</v>
      </c>
      <c r="I3" s="9" t="s">
        <v>28</v>
      </c>
      <c r="J3" s="9">
        <v>0</v>
      </c>
      <c r="K3" s="8">
        <f>IF(ISNUMBER(C3),ROUND(C3*(1+IF(ISNUMBER(G3),G3,0)/100),2),"—")</f>
        <v>13.11</v>
      </c>
      <c r="L3" s="8" t="str">
        <f>IF(ISNUMBER(D3),ROUND(D3*(1+IF(ISNUMBER(H3),H3,0)/100),2),"—")</f>
        <v>—</v>
      </c>
      <c r="M3" s="8" t="str">
        <f>IF(ISNUMBER(E3),ROUND(E3*(1+IF(ISNUMBER(I3),I3,0)/100),2),"—")</f>
        <v>—</v>
      </c>
      <c r="N3" s="8">
        <f>IF(ISNUMBER(F3),ROUND(F3*(1+IF(ISNUMBER(J3),J3,0)/100),2),"—")</f>
        <v>1.48</v>
      </c>
      <c r="O3" s="7" t="s">
        <v>29</v>
      </c>
      <c r="P3" s="8">
        <v>14.76</v>
      </c>
      <c r="Q3" s="8">
        <f>IF(ISNUMBER(P3),ROUND(P3*(1+IF(ISNUMBER(J3),J3,0)/100),2),"—")</f>
        <v>14.76</v>
      </c>
    </row>
    <row r="4" spans="1:17" x14ac:dyDescent="0.25">
      <c r="A4" s="2" t="s">
        <v>9</v>
      </c>
      <c r="B4" s="2" t="s">
        <v>31</v>
      </c>
      <c r="C4" s="3">
        <v>23.61</v>
      </c>
      <c r="D4" s="3" t="s">
        <v>28</v>
      </c>
      <c r="E4" s="3" t="s">
        <v>28</v>
      </c>
      <c r="F4" s="3">
        <v>1.95</v>
      </c>
      <c r="G4" s="6">
        <v>0</v>
      </c>
      <c r="H4" s="6" t="s">
        <v>28</v>
      </c>
      <c r="I4" s="6" t="s">
        <v>28</v>
      </c>
      <c r="J4" s="6">
        <v>0</v>
      </c>
      <c r="K4" s="3">
        <f>IF(ISNUMBER(C4),ROUND(C4*(1+IF(ISNUMBER(G4),G4,0)/100),2),"—")</f>
        <v>23.61</v>
      </c>
      <c r="L4" s="3" t="str">
        <f>IF(ISNUMBER(D4),ROUND(D4*(1+IF(ISNUMBER(H4),H4,0)/100),2),"—")</f>
        <v>—</v>
      </c>
      <c r="M4" s="3" t="str">
        <f>IF(ISNUMBER(E4),ROUND(E4*(1+IF(ISNUMBER(I4),I4,0)/100),2),"—")</f>
        <v>—</v>
      </c>
      <c r="N4" s="3">
        <f>IF(ISNUMBER(F4),ROUND(F4*(1+IF(ISNUMBER(J4),J4,0)/100),2),"—")</f>
        <v>1.95</v>
      </c>
      <c r="O4" s="2" t="s">
        <v>29</v>
      </c>
      <c r="P4" s="3">
        <v>19.48</v>
      </c>
      <c r="Q4" s="3">
        <f>IF(ISNUMBER(P4),ROUND(P4*(1+IF(ISNUMBER(J4),J4,0)/100),2),"—")</f>
        <v>19.48</v>
      </c>
    </row>
    <row r="6" spans="1:1" x14ac:dyDescent="0.25">
      <c r="A6" s="10" t="s">
        <v>32</v>
      </c>
    </row>
    <row r="7" spans="1:6" x14ac:dyDescent="0.25">
      <c r="A7" s="11" t="s">
        <v>33</v>
      </c>
      <c r="B7" s="11" t="s">
        <v>34</v>
      </c>
      <c r="C7" s="11" t="s">
        <v>35</v>
      </c>
      <c r="D7" s="11" t="s">
        <v>36</v>
      </c>
      <c r="E7" s="11" t="s">
        <v>37</v>
      </c>
      <c r="F7" s="11" t="s">
        <v>38</v>
      </c>
    </row>
    <row r="8" spans="1:6" x14ac:dyDescent="0.25">
      <c r="A8" s="12" t="s">
        <v>39</v>
      </c>
      <c r="B8" s="13">
        <f>ROUND(SUM(C2:C4),2)</f>
        <v>49.46</v>
      </c>
      <c r="C8" s="12"/>
      <c r="D8" s="13">
        <f>ROUND(SUM(K2:K4),2)</f>
        <v>49.46</v>
      </c>
      <c r="E8" s="12"/>
      <c r="F8" s="12"/>
    </row>
    <row r="9" spans="1:6" x14ac:dyDescent="0.25">
      <c r="A9" s="12" t="s">
        <v>40</v>
      </c>
      <c r="B9" s="13">
        <f>ROUND(SUM(D2:D4),2)</f>
        <v>0</v>
      </c>
      <c r="C9" s="12"/>
      <c r="D9" s="13">
        <f>ROUND(SUM(L2:L4),2)</f>
        <v>0</v>
      </c>
      <c r="E9" s="12"/>
      <c r="F9" s="12"/>
    </row>
    <row r="10" spans="1:6" x14ac:dyDescent="0.25">
      <c r="A10" s="12" t="s">
        <v>41</v>
      </c>
      <c r="B10" s="13">
        <f>ROUND(SUM(E2:E4),2)</f>
        <v>0</v>
      </c>
      <c r="C10" s="12"/>
      <c r="D10" s="13">
        <f>ROUND(SUM(M2:M4),2)</f>
        <v>0</v>
      </c>
      <c r="E10" s="12"/>
      <c r="F10" s="12"/>
    </row>
    <row r="11" spans="1:6" x14ac:dyDescent="0.25">
      <c r="A11" s="12" t="s">
        <v>42</v>
      </c>
      <c r="B11" s="13">
        <f>ROUND(SUM(F2:F4),2)</f>
        <v>4.87</v>
      </c>
      <c r="C11" s="12"/>
      <c r="D11" s="13">
        <f>ROUND(SUM(N2:N4),2)</f>
        <v>4.87</v>
      </c>
      <c r="E11" s="13">
        <f>ROUND(SUM(P2:P4),2)</f>
        <v>48.6</v>
      </c>
      <c r="F11" s="13">
        <f>ROUND(SUM(Q2:Q4),2)</f>
        <v>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סיכום כולל</vt:lpstr>
      <vt:lpstr>כתב כמויות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BetterCalc</dc:creator>
  <dc:title/>
  <dc:subject/>
  <dc:description/>
  <cp:keywords/>
  <cp:category/>
  <cp:lastModifiedBy>Unknown</cp:lastModifiedBy>
  <dcterms:created xsi:type="dcterms:W3CDTF">2026-09-27T10:10:18Z</dcterms:created>
  <dcterms:modified xsi:type="dcterms:W3CDTF">2026-09-27T10:10:18Z</dcterms:modified>
</cp:coreProperties>
</file>